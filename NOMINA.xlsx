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<sst xmlns="http://schemas.openxmlformats.org/spreadsheetml/2006/main" count="25" uniqueCount="25">
  <si>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Trabajadores </t>
  </si>
  <si>
    <t xml:space="preserve">Dias Trabajados</t>
  </si>
  <si>
    <t xml:space="preserve">Valor Dia</t>
  </si>
  <si>
    <t xml:space="preserve">Total Devengado</t>
  </si>
  <si>
    <t xml:space="preserve">Auxilio de trasporte</t>
  </si>
  <si>
    <t xml:space="preserve">Total Neto</t>
  </si>
  <si>
    <t xml:space="preserve">Aprobados</t>
  </si>
  <si>
    <t xml:space="preserve">Bonificación</t>
  </si>
  <si>
    <t xml:space="preserve">Mateo</t>
  </si>
  <si>
    <t xml:space="preserve">Valentina</t>
  </si>
  <si>
    <t xml:space="preserve">Simon</t>
  </si>
  <si>
    <t xml:space="preserve">Thomas</t>
  </si>
  <si>
    <t xml:space="preserve">Isaac</t>
  </si>
  <si>
    <t xml:space="preserve">Isabella</t>
  </si>
  <si>
    <t xml:space="preserve">Sofía</t>
  </si>
  <si>
    <t xml:space="preserve">Emiliano</t>
  </si>
  <si>
    <t xml:space="preserve">Sebastian</t>
  </si>
  <si>
    <t xml:space="preserve">Lucia</t>
  </si>
  <si>
    <t xml:space="preserve">Gael</t>
  </si>
  <si>
    <t xml:space="preserve">Leonardo</t>
  </si>
  <si>
    <t xml:space="preserve">Camila</t>
  </si>
  <si>
    <t xml:space="preserve">Antonia</t>
  </si>
  <si>
    <t xml:space="preserve">Maria</t>
  </si>
  <si>
    <t xml:space="preserve">Benjamín</t>
  </si>
  <si>
    <t xml:space="preserve">Thiago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</si>
</sst>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66"/>
    <col collapsed="false" customWidth="true" hidden="false" outlineLevel="0" max="2" min="2" style="0" width="14.83"/>
    <col collapsed="false" customWidth="true" hidden="false" outlineLevel="0" max="3" min="3" style="0" width="10.04"/>
    <col collapsed="false" customWidth="true" hidden="false" outlineLevel="0" max="4" min="4" style="0" width="15.27"/>
    <col collapsed="false" customWidth="true" hidden="false" outlineLevel="0" max="5" min="5" style="0" width="16.38"/>
  </cols>
  <sheetData>
    <row r="1" customFormat="false" ht="18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2" t="n">
        <v>20</v>
      </c>
      <c r="C2" s="3" t="n">
        <v>58300</v>
      </c>
      <c r="D2" s="3" t="n">
        <f aca="false"> B2*C2</f>
        <v>1166000</v>
      </c>
      <c r="E2" s="3" t="n">
        <f aca="false">B2*8300</f>
        <v>166000</v>
      </c>
      <c r="F2" s="3" t="n">
        <f aca="false">SUM(D2+E3)</f>
        <v>1373500</v>
      </c>
      <c r="G2" s="4" t="str">
        <f aca="false">IF(F2&gt;1500000,"Aprueba","No Aprueba")</f>
        <v>No Aprueba</v>
      </c>
      <c r="H2" s="5" t="str">
        <f aca="false">IF(G2="Aprueba",F2+100000,"No Aplica")</f>
        <v>No Aplica</v>
      </c>
    </row>
    <row r="3" customFormat="false" ht="12.8" hidden="false" customHeight="false" outlineLevel="0" collapsed="false">
      <c r="A3" s="2" t="s">
        <v>9</v>
      </c>
      <c r="B3" s="2" t="n">
        <v>25</v>
      </c>
      <c r="C3" s="3" t="n">
        <v>58300</v>
      </c>
      <c r="D3" s="3" t="n">
        <f aca="false"> B3*C3</f>
        <v>1457500</v>
      </c>
      <c r="E3" s="3" t="n">
        <f aca="false">B3*8300</f>
        <v>207500</v>
      </c>
      <c r="F3" s="3" t="n">
        <f aca="false">SUM(D3+E4)</f>
        <v>1706500</v>
      </c>
      <c r="G3" s="4" t="str">
        <f aca="false">IF(F3&gt;1500000,"Aprueba","No Aprueba")</f>
        <v>Aprueba</v>
      </c>
      <c r="H3" s="5" t="n">
        <f aca="false">IF(G3="Aprueba",F3+100000,"No Aplica")</f>
        <v>1806500</v>
      </c>
    </row>
    <row r="4" customFormat="false" ht="12.8" hidden="false" customHeight="false" outlineLevel="0" collapsed="false">
      <c r="A4" s="2" t="s">
        <v>10</v>
      </c>
      <c r="B4" s="2" t="n">
        <v>30</v>
      </c>
      <c r="C4" s="3" t="n">
        <v>58300</v>
      </c>
      <c r="D4" s="3" t="n">
        <f aca="false"> B4*C4</f>
        <v>1749000</v>
      </c>
      <c r="E4" s="3" t="n">
        <f aca="false">B4*8300</f>
        <v>249000</v>
      </c>
      <c r="F4" s="3" t="n">
        <f aca="false">SUM(D4+E5)</f>
        <v>1923300</v>
      </c>
      <c r="G4" s="4" t="str">
        <f aca="false">IF(F4&gt;1500000,"Aprueba","No Aprueba")</f>
        <v>Aprueba</v>
      </c>
      <c r="H4" s="5" t="n">
        <f aca="false">IF(G4="Aprueba",F4+100000,"No Aplica")</f>
        <v>2023300</v>
      </c>
    </row>
    <row r="5" customFormat="false" ht="12.8" hidden="false" customHeight="false" outlineLevel="0" collapsed="false">
      <c r="A5" s="2" t="s">
        <v>11</v>
      </c>
      <c r="B5" s="2" t="n">
        <v>21</v>
      </c>
      <c r="C5" s="3" t="n">
        <v>58300</v>
      </c>
      <c r="D5" s="3" t="n">
        <f aca="false"> B5*C5</f>
        <v>1224300</v>
      </c>
      <c r="E5" s="3" t="n">
        <f aca="false">B5*8300</f>
        <v>174300</v>
      </c>
      <c r="F5" s="3" t="n">
        <f aca="false">SUM(D5+E6)</f>
        <v>1456700</v>
      </c>
      <c r="G5" s="4" t="str">
        <f aca="false">IF(F5&gt;1500000,"Aprueba","No Aprueba")</f>
        <v>No Aprueba</v>
      </c>
      <c r="H5" s="5" t="str">
        <f aca="false">IF(G5="Aprueba",F5+100000,"No Aplica")</f>
        <v>No Aplica</v>
      </c>
    </row>
    <row r="6" customFormat="false" ht="12.8" hidden="false" customHeight="false" outlineLevel="0" collapsed="false">
      <c r="A6" s="2" t="s">
        <v>12</v>
      </c>
      <c r="B6" s="2" t="n">
        <v>28</v>
      </c>
      <c r="C6" s="3" t="n">
        <v>58300</v>
      </c>
      <c r="D6" s="3" t="n">
        <f aca="false"> B6*C6</f>
        <v>1632400</v>
      </c>
      <c r="E6" s="3" t="n">
        <f aca="false">B6*8300</f>
        <v>232400</v>
      </c>
      <c r="F6" s="3" t="n">
        <f aca="false">SUM(D6+E7)</f>
        <v>1756900</v>
      </c>
      <c r="G6" s="4" t="str">
        <f aca="false">IF(F6&gt;1500000,"Aprueba","No Aprueba")</f>
        <v>Aprueba</v>
      </c>
      <c r="H6" s="5" t="n">
        <f aca="false">IF(G6="Aprueba",F6+100000,"No Aplica")</f>
        <v>1856900</v>
      </c>
    </row>
    <row r="7" customFormat="false" ht="12.8" hidden="false" customHeight="false" outlineLevel="0" collapsed="false">
      <c r="A7" s="2" t="s">
        <v>13</v>
      </c>
      <c r="B7" s="2" t="n">
        <v>15</v>
      </c>
      <c r="C7" s="3" t="n">
        <v>58300</v>
      </c>
      <c r="D7" s="3" t="n">
        <f aca="false"> B7*C7</f>
        <v>874500</v>
      </c>
      <c r="E7" s="3" t="n">
        <f aca="false">B7*8300</f>
        <v>124500</v>
      </c>
      <c r="F7" s="3" t="n">
        <f aca="false">SUM(D7+E8)</f>
        <v>1040500</v>
      </c>
      <c r="G7" s="4" t="str">
        <f aca="false">IF(F7&gt;1500000,"Aprueba","No Aprueba")</f>
        <v>No Aprueba</v>
      </c>
      <c r="H7" s="5" t="str">
        <f aca="false">IF(G7="Aprueba",F7+100000,"No Aplica")</f>
        <v>No Aplica</v>
      </c>
    </row>
    <row r="8" customFormat="false" ht="12.8" hidden="false" customHeight="false" outlineLevel="0" collapsed="false">
      <c r="A8" s="2" t="s">
        <v>14</v>
      </c>
      <c r="B8" s="2" t="n">
        <v>20</v>
      </c>
      <c r="C8" s="3" t="n">
        <v>58300</v>
      </c>
      <c r="D8" s="3" t="n">
        <f aca="false"> B8*C8</f>
        <v>1166000</v>
      </c>
      <c r="E8" s="3" t="n">
        <f aca="false">B8*8300</f>
        <v>166000</v>
      </c>
      <c r="F8" s="3" t="n">
        <f aca="false">SUM(D8+E9)</f>
        <v>1356900</v>
      </c>
      <c r="G8" s="4" t="str">
        <f aca="false">IF(F8&gt;1500000,"Aprueba","No Aprueba")</f>
        <v>No Aprueba</v>
      </c>
      <c r="H8" s="5" t="str">
        <f aca="false">IF(G8="Aprueba",F8+100000,"No Aplica")</f>
        <v>No Aplica</v>
      </c>
    </row>
    <row r="9" customFormat="false" ht="12.8" hidden="false" customHeight="false" outlineLevel="0" collapsed="false">
      <c r="A9" s="2" t="s">
        <v>15</v>
      </c>
      <c r="B9" s="2" t="n">
        <v>23</v>
      </c>
      <c r="C9" s="3" t="n">
        <v>58300</v>
      </c>
      <c r="D9" s="3" t="n">
        <f aca="false"> B9*C9</f>
        <v>1340900</v>
      </c>
      <c r="E9" s="3" t="n">
        <f aca="false">B9*8300</f>
        <v>190900</v>
      </c>
      <c r="F9" s="3" t="n">
        <f aca="false">SUM(D9+E10)</f>
        <v>1540100</v>
      </c>
      <c r="G9" s="4" t="str">
        <f aca="false">IF(F9&gt;1500000,"Aprueba","No Aprueba")</f>
        <v>Aprueba</v>
      </c>
      <c r="H9" s="5" t="n">
        <f aca="false">IF(G9="Aprueba",F9+100000,"No Aplica")</f>
        <v>1640100</v>
      </c>
    </row>
    <row r="10" customFormat="false" ht="12.8" hidden="false" customHeight="false" outlineLevel="0" collapsed="false">
      <c r="A10" s="2" t="s">
        <v>16</v>
      </c>
      <c r="B10" s="2" t="n">
        <v>24</v>
      </c>
      <c r="C10" s="3" t="n">
        <v>58300</v>
      </c>
      <c r="D10" s="3" t="n">
        <f aca="false"> B10*C10</f>
        <v>1399200</v>
      </c>
      <c r="E10" s="3" t="n">
        <f aca="false">B10*8300</f>
        <v>199200</v>
      </c>
      <c r="F10" s="3" t="n">
        <f aca="false">SUM(D10+E11)</f>
        <v>1606700</v>
      </c>
      <c r="G10" s="4" t="str">
        <f aca="false">IF(F10&gt;1500000,"Aprueba","No Aprueba")</f>
        <v>Aprueba</v>
      </c>
      <c r="H10" s="5" t="n">
        <f aca="false">IF(G10="Aprueba",F10+100000,"No Aplica")</f>
        <v>1706700</v>
      </c>
    </row>
    <row r="11" customFormat="false" ht="12.8" hidden="false" customHeight="false" outlineLevel="0" collapsed="false">
      <c r="A11" s="2" t="s">
        <v>17</v>
      </c>
      <c r="B11" s="2" t="n">
        <v>25</v>
      </c>
      <c r="C11" s="3" t="n">
        <v>58300</v>
      </c>
      <c r="D11" s="3" t="n">
        <f aca="false"> B11*C11</f>
        <v>1457500</v>
      </c>
      <c r="E11" s="3" t="n">
        <f aca="false">B11*8300</f>
        <v>207500</v>
      </c>
      <c r="F11" s="3" t="n">
        <f aca="false">SUM(D11+E12)</f>
        <v>1673300</v>
      </c>
      <c r="G11" s="4" t="str">
        <f aca="false">IF(F11&gt;1500000,"Aprueba","No Aprueba")</f>
        <v>Aprueba</v>
      </c>
      <c r="H11" s="5" t="n">
        <f aca="false">IF(G11="Aprueba",F11+100000,"No Aplica")</f>
        <v>1773300</v>
      </c>
    </row>
    <row r="12" customFormat="false" ht="12.8" hidden="false" customHeight="false" outlineLevel="0" collapsed="false">
      <c r="A12" s="2" t="s">
        <v>18</v>
      </c>
      <c r="B12" s="2" t="n">
        <v>26</v>
      </c>
      <c r="C12" s="3" t="n">
        <v>58300</v>
      </c>
      <c r="D12" s="3" t="n">
        <f aca="false"> B12*C12</f>
        <v>1515800</v>
      </c>
      <c r="E12" s="3" t="n">
        <f aca="false">B12*8300</f>
        <v>215800</v>
      </c>
      <c r="F12" s="3" t="n">
        <f aca="false">SUM(D12+E13)</f>
        <v>1739900</v>
      </c>
      <c r="G12" s="4" t="str">
        <f aca="false">IF(F12&gt;1500000,"Aprueba","No Aprueba")</f>
        <v>Aprueba</v>
      </c>
      <c r="H12" s="5" t="n">
        <f aca="false">IF(G12="Aprueba",F12+100000,"No Aplica")</f>
        <v>1839900</v>
      </c>
    </row>
    <row r="13" customFormat="false" ht="12.8" hidden="false" customHeight="false" outlineLevel="0" collapsed="false">
      <c r="A13" s="2" t="s">
        <v>19</v>
      </c>
      <c r="B13" s="2" t="n">
        <v>27</v>
      </c>
      <c r="C13" s="3" t="n">
        <v>58300</v>
      </c>
      <c r="D13" s="3" t="n">
        <f aca="false"> B13*C13</f>
        <v>1574100</v>
      </c>
      <c r="E13" s="3" t="n">
        <f aca="false">B13*8300</f>
        <v>224100</v>
      </c>
      <c r="F13" s="3" t="n">
        <f aca="false">SUM(D13+E14)</f>
        <v>1806500</v>
      </c>
      <c r="G13" s="4" t="str">
        <f aca="false">IF(F13&gt;1500000,"Aprueba","No Aprueba")</f>
        <v>Aprueba</v>
      </c>
      <c r="H13" s="5" t="n">
        <f aca="false">IF(G13="Aprueba",F13+100000,"No Aplica")</f>
        <v>1906500</v>
      </c>
    </row>
    <row r="14" customFormat="false" ht="12.8" hidden="false" customHeight="false" outlineLevel="0" collapsed="false">
      <c r="A14" s="2" t="s">
        <v>20</v>
      </c>
      <c r="B14" s="2" t="n">
        <v>28</v>
      </c>
      <c r="C14" s="3" t="n">
        <v>58300</v>
      </c>
      <c r="D14" s="3" t="n">
        <f aca="false"> B14*C14</f>
        <v>1632400</v>
      </c>
      <c r="E14" s="3" t="n">
        <f aca="false">B14*8300</f>
        <v>232400</v>
      </c>
      <c r="F14" s="3" t="n">
        <f aca="false">SUM(D14+E15)</f>
        <v>1873100</v>
      </c>
      <c r="G14" s="4" t="str">
        <f aca="false">IF(F14&gt;1500000,"Aprueba","No Aprueba")</f>
        <v>Aprueba</v>
      </c>
      <c r="H14" s="5" t="n">
        <f aca="false">IF(G14="Aprueba",F14+100000,"No Aplica")</f>
        <v>1973100</v>
      </c>
    </row>
    <row r="15" customFormat="false" ht="12.8" hidden="false" customHeight="false" outlineLevel="0" collapsed="false">
      <c r="A15" s="2" t="s">
        <v>21</v>
      </c>
      <c r="B15" s="2" t="n">
        <v>29</v>
      </c>
      <c r="C15" s="3" t="n">
        <v>58300</v>
      </c>
      <c r="D15" s="3" t="n">
        <f aca="false"> B15*C15</f>
        <v>1690700</v>
      </c>
      <c r="E15" s="3" t="n">
        <f aca="false">B15*8300</f>
        <v>240700</v>
      </c>
      <c r="F15" s="3" t="n">
        <f aca="false">SUM(D15+E16)</f>
        <v>1939700</v>
      </c>
      <c r="G15" s="4" t="str">
        <f aca="false">IF(F15&gt;1500000,"Aprueba","No Aprueba")</f>
        <v>Aprueba</v>
      </c>
      <c r="H15" s="5" t="n">
        <f aca="false">IF(G15="Aprueba",F15+100000,"No Aplica")</f>
        <v>2039700</v>
      </c>
    </row>
    <row r="16" customFormat="false" ht="12.8" hidden="false" customHeight="false" outlineLevel="0" collapsed="false">
      <c r="A16" s="2" t="s">
        <v>22</v>
      </c>
      <c r="B16" s="2" t="n">
        <v>30</v>
      </c>
      <c r="C16" s="3" t="n">
        <v>58300</v>
      </c>
      <c r="D16" s="3" t="n">
        <f aca="false"> B16*C16</f>
        <v>1749000</v>
      </c>
      <c r="E16" s="3" t="n">
        <f aca="false">B16*8300</f>
        <v>249000</v>
      </c>
      <c r="F16" s="3" t="n">
        <f aca="false">SUM(D16+E17)</f>
        <v>1881800</v>
      </c>
      <c r="G16" s="4" t="str">
        <f aca="false">IF(F16&gt;1500000,"Aprueba","No Aprueba")</f>
        <v>Aprueba</v>
      </c>
      <c r="H16" s="5" t="n">
        <f aca="false">IF(G16="Aprueba",F16+100000,"No Aplica")</f>
        <v>1981800</v>
      </c>
    </row>
    <row r="17" customFormat="false" ht="12.8" hidden="false" customHeight="false" outlineLevel="0" collapsed="false">
      <c r="A17" s="2" t="s">
        <v>23</v>
      </c>
      <c r="B17" s="2" t="n">
        <v>16</v>
      </c>
      <c r="C17" s="3" t="n">
        <v>58300</v>
      </c>
      <c r="D17" s="3" t="n">
        <f aca="false"> B17*C17</f>
        <v>932800</v>
      </c>
      <c r="E17" s="3" t="n">
        <f aca="false">B17*8300</f>
        <v>132800</v>
      </c>
      <c r="F17" s="3" t="n">
        <f aca="false">SUM(D17+E18)</f>
        <v>1057300</v>
      </c>
      <c r="G17" s="4" t="str">
        <f aca="false">IF(F17&gt;1500000,"Aprueba","No Aprueba")</f>
        <v>No Aprueba</v>
      </c>
      <c r="H17" s="5" t="str">
        <f aca="false">IF(G17="Aprueba",F17+100000,"No Aplica")</f>
        <v>No Aplica</v>
      </c>
    </row>
    <row r="18" customFormat="false" ht="12.8" hidden="false" customHeight="false" outlineLevel="0" collapsed="false">
      <c r="A18" s="2" t="s">
        <v>24</v>
      </c>
      <c r="B18" s="2" t="n">
        <v>15</v>
      </c>
      <c r="C18" s="3" t="n">
        <v>58300</v>
      </c>
      <c r="D18" s="3" t="n">
        <f aca="false"> B18*C18</f>
        <v>874500</v>
      </c>
      <c r="E18" s="3" t="n">
        <f aca="false">B18*8300</f>
        <v>124500</v>
      </c>
      <c r="F18" s="3" t="n">
        <f aca="false">SUM(D18+E19)</f>
        <v>874500</v>
      </c>
      <c r="G18" s="4" t="str">
        <f aca="false">IF(F18&gt;1500000,"Aprueba","No Aprueba")</f>
        <v>No Aprueba</v>
      </c>
      <c r="H18" s="5" t="str">
        <f aca="false">IF(G18="Aprueba",F18+100000,"No Aplica")</f>
        <v>No Aplica</v>
      </c>
    </row>
    <row r="19" customFormat="false" ht="12.8" hidden="false" customHeight="false" outlineLevel="0" collapsed="false">
      <c r="F19" s="6" t="n">
        <f aca="false">SUM(F2:F18)</f>
        <v>26607200</v>
      </c>
      <c r="H19" s="7" t="n">
        <f aca="false">SUM(H2:H18)</f>
        <v>20547800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2026-02-12T12:13:20Z</dcterms:created>
  <dc:creator/>
  <dc:description/>
  <dc:language>es-CO</dc:language>
  <cp:lastModifiedBy/>
  <dcterms:modified xsi:type="dcterms:W3CDTF">2026-02-12T15:01:38Z</dcterms:modified>
  <cp:revision>1</cp:revision>
  <dc:subject/>
  <dc:title/>
</cp:coreProperties>
</file>